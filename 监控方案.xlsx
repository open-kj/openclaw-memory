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up1" sheetId="2" r:id="rId1"/>
  </sheets>
  <definedNames>
    <definedName name="_xlnm._FilterDatabase" localSheetId="0" hidden="1">'up1'!$A$1:$O$2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<sst xmlns="http://schemas.openxmlformats.org/spreadsheetml/2006/main" count="57" uniqueCount="45">
  <si>
    <t>产品报价单（保存录像180天）含税13% 保修24月（硬盘60月）</t>
  </si>
  <si>
    <t>序号</t>
  </si>
  <si>
    <t>800万型号</t>
  </si>
  <si>
    <t>数量</t>
  </si>
  <si>
    <t>单价</t>
  </si>
  <si>
    <t>合价</t>
  </si>
  <si>
    <t>400万型号</t>
  </si>
  <si>
    <t>合计</t>
  </si>
  <si>
    <t>400室内+600万室外型号</t>
  </si>
  <si>
    <t>图片</t>
  </si>
  <si>
    <t>技术规格</t>
  </si>
  <si>
    <r>
      <rPr>
        <sz val="8"/>
        <rFont val="微软雅黑"/>
        <charset val="134"/>
      </rPr>
      <t>DS-2CD238MGSX-A（800万）</t>
    </r>
    <r>
      <rPr>
        <sz val="8"/>
        <color rgb="FFFF0000"/>
        <rFont val="微软雅黑"/>
        <charset val="134"/>
      </rPr>
      <t>180天每台需12.24TB</t>
    </r>
  </si>
  <si>
    <r>
      <rPr>
        <sz val="8"/>
        <color rgb="FF000000"/>
        <rFont val="微软雅黑"/>
        <charset val="134"/>
      </rPr>
      <t>DS-2CD234MGSX-A（400万）</t>
    </r>
    <r>
      <rPr>
        <sz val="8"/>
        <color rgb="FFFF0000"/>
        <rFont val="微软雅黑"/>
        <charset val="134"/>
      </rPr>
      <t>180天每台需6.12TB</t>
    </r>
  </si>
  <si>
    <t/>
  </si>
  <si>
    <t>宽动态性能：均支持 120 dB 宽动态，强光 / 背光环境表现一致。
补光距离：红外最远 30 m，白光最远 20 m，夜间监控覆盖范围相同。
编码技术：均支持 ROI 增强编码、Smart265/264 编码，存储优化能力一致。
网络接口：1 个 RJ45 10M/100M 自适应以太网口，网络适配性相同。
本地存储：最大支持 256 GB MicroSD 卡扩展，本地存储能力一致。
供电方式：均支持 DC12 V（防反接）和 PoE 802.3af，供电灵活性相同。
防护等级：IP66 级防尘防水，适应室外恶劣环境；工作环境：-30 ℃~60 ℃工作温湿度，环境适应性一致。
功耗表现：最大功耗均为 11 W（DC）/12.5 W（PoE），能耗相同。
平台接入：均支持萤石平台、海康互联接入，远程管理能力一致。                                                                               支持区域入侵侦测，越界侦测，进入区域侦测，离开区域侦测等10种，只能功能一致。</t>
  </si>
  <si>
    <r>
      <rPr>
        <sz val="8"/>
        <rFont val="微软雅黑"/>
        <charset val="134"/>
      </rPr>
      <t>DS-2CD2T86MGSX-B（800万）</t>
    </r>
    <r>
      <rPr>
        <sz val="8"/>
        <color rgb="FFFF0000"/>
        <rFont val="微软雅黑"/>
        <charset val="134"/>
      </rPr>
      <t>180天每台需12.24TB</t>
    </r>
  </si>
  <si>
    <r>
      <rPr>
        <sz val="8"/>
        <rFont val="微软雅黑"/>
        <charset val="134"/>
      </rPr>
      <t>DS-2CD2T46MGSX-B(400万）</t>
    </r>
    <r>
      <rPr>
        <sz val="8"/>
        <color rgb="FFFF0000"/>
        <rFont val="微软雅黑"/>
        <charset val="134"/>
      </rPr>
      <t>180天每台需12.24TB</t>
    </r>
  </si>
  <si>
    <r>
      <rPr>
        <sz val="8"/>
        <rFont val="微软雅黑"/>
        <charset val="134"/>
      </rPr>
      <t>DS-2CD2T6LYR-QJ（600万像素）</t>
    </r>
    <r>
      <rPr>
        <sz val="8"/>
        <color rgb="FFFF0000"/>
        <rFont val="微软雅黑"/>
        <charset val="134"/>
      </rPr>
      <t>180天每台需10.2TB</t>
    </r>
  </si>
  <si>
    <t>补光距离：红外最远 50 m，白光最远 30m，夜间监控覆盖范围相同。                                                                  防护与环境适应性：均为 IP66 级防尘防水，-30℃~60℃工作温湿度，适应室外恶劣环境；
编码技术：均支持 ROI 增强编码、Smart265/264 编码，存储优化能力一致；
本地存储：最大支持 256GB MicroSD 卡扩展，本地数据备份能力相同；
供电方式：DC12V（防反接）+PoE 802.3af 双供电，安装灵活性一致；
网络接口：1 个 RJ45 10M/100M 自适应以太网口，基础网络适配性相同；
功耗表现：DC 供电最大功耗 10W，PoE 最大 12.5W，能耗水平一致；
平台接入：均支持萤石平台、海康互联、iVMS-4200 客户端，远程管理能力相同。                                                             支持区域入侵侦测，越界侦测，进入区域侦测，离开区域侦测等10种，只能功能一致。</t>
  </si>
  <si>
    <t>DS-1292ZJ-K</t>
  </si>
  <si>
    <t>金属壁装支架
压铸纯铝合金材质，表面做喷塑处理
支架带出线孔，安装更加美观
摄像机安装座表面有海绵垫，保证和摄像机底座结合更紧密
摄像机安装座可旋转，方便摄像机角度调整
材质：铝合金
尺寸：70×97.1×173.4mm
重量：最大承受重量为2KG
角度：调整角度：水平：360°，垂直：-45°~45°
产品重量：201g</t>
  </si>
  <si>
    <r>
      <t>DS-9632NW-AIS16</t>
    </r>
    <r>
      <rPr>
        <sz val="8"/>
        <color rgb="FFFF0000"/>
        <rFont val="微软雅黑"/>
        <charset val="134"/>
      </rPr>
      <t>（16盘位）</t>
    </r>
  </si>
  <si>
    <r>
      <t>DS-9632W-AIS8X</t>
    </r>
    <r>
      <rPr>
        <sz val="8"/>
        <color rgb="FFFF0000"/>
        <rFont val="微软雅黑"/>
        <charset val="134"/>
      </rPr>
      <t>（8盘位）</t>
    </r>
  </si>
  <si>
    <t>单盘位最大支持20TB硬盘，视频接口 2×HDMI + 2×VGA，支持多屏输出
网络接口 2×RJ45 10/100/1000Mbps 自适应以太网口，满足千兆网络传输
报警接口 16 路报警输入 + 9 路报警输出（第 9 路支持 CTRL 12V），适配各类报警设备
供电与反向供电 1+1 冗余电源（保障设备稳定运行）+ 1 路 DC12V 1A 反向供电（可给外设供电）
串行接口 1 路 RS-232 接口 + 1 路全双工 RS-485 接口，支持串口设备联动
USB 接口 2×USB 2.0 + 2×USB 3.0，兼顾低速外设连接与高速数据传输
扩展接口 1×eSATA，支持外接存储设备扩容                                                                                             带宽能力 输入带宽 320Mbps，输出带宽 256Mbps，满足多路高清码流传输
接入能力 支持 32 路 H.264、H.265 格式高清码流接入，适配主流高清摄像机
解码能力 最大支持 32×1080P 解码，可同时解码 32 路 1080P 高清视频
显示能力 最大支持 8K+1080P、2×4K 异源输出，适配高清显示设备
存储相关 支持硬盘热插拔，可满配 20TB 硬盘；支持 RAID0、RAID1、RAID5、RAID6、RAID10 模式及全局热备盘，保障数据安全                                                                                                                       以文搜图应用：内置图文搜索引擎，支持开放式语义检索（人、车、非机动车等目标），搜索结果按相似度排序，可一键关联录像片段及以图搜图；以文搜图、以图搜图能力均为 32 路。
目标识别应用：支持目标抓拍、比对报警，支持以图搜图、按姓名 / 属性检索；支持 32 个名单库（总库容 10 万张），目标抓拍 16 路视频流（2MP），目标比对 32 路图片流。
应用兼容：出厂默认以文搜图应用，开启后同时支持 12 路图片流目标比对，适配智能相机联动。                                                  架构设计：均采用存算一体架构，集成存储与 AI 计算功能，无需额外部署计算设备。
安装适配：均为机架式设计，适配 19 英寸标准机柜，安装方式一致。
运行环境：未明确标注差异，默认支持相同的工作温湿度范围，适应机房标准环境。
维护便利性：均支持硬盘热插拔，维护时无需停机，保障系统连续运行。</t>
  </si>
  <si>
    <r>
      <t>（240TB录像176天13小时）</t>
    </r>
    <r>
      <rPr>
        <sz val="8"/>
        <color rgb="FFFF0000"/>
        <rFont val="微软雅黑"/>
        <charset val="134"/>
      </rPr>
      <t>180天共计需244.72TB</t>
    </r>
  </si>
  <si>
    <r>
      <t>（120TB录像176天13小时）</t>
    </r>
    <r>
      <rPr>
        <sz val="8"/>
        <color rgb="FFFF0000"/>
        <rFont val="微软雅黑"/>
        <charset val="134"/>
      </rPr>
      <t>180天共计需122.36TB</t>
    </r>
  </si>
  <si>
    <r>
      <t>（160TB录像185天20小时）</t>
    </r>
    <r>
      <rPr>
        <sz val="8"/>
        <color rgb="FFFF0000"/>
        <rFont val="微软雅黑"/>
        <charset val="134"/>
      </rPr>
      <t>180天共计需154.99TB</t>
    </r>
  </si>
  <si>
    <t xml:space="preserve">型号：WD200HKAI-78 20TB容量，3.5英寸，SATA3.0接口，7200RPM
氦气盘， CMR传统磁记录
传输速率285 MB/s，流畅存储视频有效防止丢帧
高级格式（AF）512e扇区技术，保障硬盘扇区4K对齐
满足数据严苛的7*24小时运行可靠性、安全性的需求
支持5年有限质保服务
适用海拔高度范围-305m至3050m
标称容量：20TB
外形规格：3.5-inch
接口类型：SATA
刻录技术：CMR
转速：7200RPM
缓存：512MB
最大读取速度：285MB/s
接口传输速率（最大值）：6.0Gb/s
平均读写功率（W）：6.40W
加载/卸载周期：600,000
MTBF：2,500,000
年负荷（TB/年）：550TB
工作状态温度(°C)：0-65℃
尺寸：147mm(L)×101.6mm(W)×26.1mm(H) </t>
  </si>
  <si>
    <t>DS-3E1518P-S</t>
  </si>
  <si>
    <t>轻网管千兆POE交换机（16千兆POE电+2千兆光）
提供16个千兆PoE电口和2个千兆光口。
支持IEEE 802.3at/af标准。
支持IEEE 802.3、IEEE 802.3u、IEEE 802.3x、IEEE 802.3ab、IEEE 802.3z标准。
支持iVMS-4200 客户端和海康互联APP管理。
支持安防网络拓扑管理、端口管理，支持远程升级。
支持6 KV防浪涌（PoE口）。
支持PoE输出功率管理，整机最大PoE输出功率230 W。
千兆网络接入设计、存储转发交换方式。
坚固式高强度金属外壳。
端口：16个千兆PoE电口 + 2个千兆光口
重量：2.74 kg
风扇：有风扇
尺寸（宽×高×深）：440.00 mm × 44.00 mm × 220.80 mm
工作温度：0 ℃～40 ℃
工作湿度：5%～95%（无凝露）
存储温度：–40 °C～85 °C
存储湿度：5%～95%（无凝露）
供电方式：100-240 V AC,50/60 Hz
安装方式：机架式（1U高，19英寸宽）
整机功耗：250 W
浪涌防护：6 kV 
PoE标准：IEEE 802.3af、IEEE 802.3at
供电线芯：支持8芯供电，网线的1/2/3/6和4/5/7/8同时供电
PoE端口：端口1～16
端口最大供电功率：30 W
整机最大供电功率：230 W 
流量控制：支持流量控制
交换方式：存储转发
链路聚合：支持静态链路聚合
风暴控制：支持风暴控制
端口限速：支持所有端口收、发方向限速
端口统计：支持端口实时收发速率统计，7天收发峰值速率统计
端口镜像：支持端口镜像
端口隔离：支持端口隔离
LLDP：支持LLDP协议
SNMP：支持SNMP_V1/V2C
STP：支持STP/RSTP
VLAN：支持VLAN
管理维护：支持iVMS-4200客户端管理和海康互联APP管理
SSH：支持SSH
海康互联APP：支持海康互联APP
统一管理平台：支持统一管理平台
SADP：支持SADP
PoE看门狗：支持PoE看门狗
MAC地址表获取：支持MAC地址表获取
终端安全防护：支持终端安全防护
DHCP Client：支持DHCP  CLIENT
QoS：支持QoS 
交换容量：56 Gbps
包转发率：41.66Mpps
MAC地址容量：8 K
缓存：4.1 Mbits 
端口镜像：支持端口镜像
QoS：支持QoS
VLAN：支持VLAN
STP：支持STP/RSTP协议
DHCP Snooping：支持DHCP Snooping
Web管理：支持web管理
DHCP：支持DHCP CLIENT, 默认静态 
设备维护：支持远程升级，默认参数恢复，日志查看，基本网络参数配置
端口配置：支持端口的速率，流控配置，端口使能配置 
拓扑展示：支持拓扑页面展示
设备状态告警：支持端口通断告警
4200客户端：支持4200客户端</t>
  </si>
  <si>
    <t>DS-3E1510P-S</t>
  </si>
  <si>
    <t>轻网管千兆POE交换机（8千兆POE电+2千兆光）
提供8个千兆PoE电口，2个千兆光口。
支持IEEE 802.3at/af标准。
支持IEEE 802.3、IEEE 802.3u、IEEE 802.3x、IEEE 802.3ab、IEEE 802.3z标准。
支持iVMS-4200客户端管理。
支持安防网络拓扑管理、链路聚合、端口管理。
支持远程升级。
支持6 KV防浪涌（PoE口）。
支持PoE输出功率管理。
千兆网络接入设计。
线速转发。
存储转发交换方式。
坚固式高强度金属外壳。
无风扇设计，高可靠性。
端口：8个千兆PoE电口 + 2个千兆光口
浪涌防护：支持6 kV防浪涌（PoE口）
安装方式：桌面式可壁挂
供电方式：本地供电：支持 48 V DC
整机功耗：120W
尺寸（宽×高×深）：217.6mm × 27.8mm × 108.55mm
重量：0.6kg
工作温度：0 °C～ 40 °C
工作湿度：5%～ 95%（无凝露）
存储温度：–40 °C～ 85 °C
存储湿度：5%～ 95%（无凝露）
风扇：无风扇 
整机最大供电功率：110 W
PoE标准：IEEE 802.3af、IEEE 802.3at
PoE端口：端口1～8
端口最大供电功率：30 W
供电线芯：支持8芯供电，网线的1/2/3/6和4/5/7/8同时供电 
VLAN：支持VLAN
链路聚合：支持链路聚合
DHCP Client：支持DHCP CLIENT，默认DHCP
终端安全防护：支持终端安全防护
风暴控制：支持风暴控制
端口统计：支持端口统计
流量控制：支持流量控制
交换方式：存储转发
端口限速：支持所有端口收、发方向限速
SNMP：支持SNMP
端口隔离：支持端口隔离
STP：支持STP/RSTP
端口镜像：支持端口镜像
LLDP：支持LLDP协议
SSH：支持SSH
PoE看门狗：支持PoE看门狗
MAC地址表获取：支持MAC地址表获取
海康互联APP：支持海康互联APP
统一管理平台：支持统一管理平台
SADP：支持SADP
QoS：支持QoS
管理维护：支持iVMS-4200客户端和海康互联APP管理
DHCP Snooping：支持DHCP Snooping 
交换容量：20 Gbps
MAC地址容量：8 K
缓存：4.1 Mbits
包转发率：14.88 Mpps 
Web管理：支持web管理 
拓扑展示：支持拓扑页面展示
设备维护：支持远程升级，默认参数恢复，日志查看，基本网络参数配置  
设备状态告警：支持端口通断告警、 PoE_MAX告警、 PoE通断告警
端口配置：支持端口的速率，流控配置，端口使能配置  
拓扑展示：支持拓扑页面展示
端口配置：支持端口的速率、流控配置，端口使能配置
设备状态告警：支持端口通断告警
端口统计：支持端口实时收发速率统计、 7天收发峰值速率统计
SADP：支持SADP
设备维护：支持远程升级、默认参数恢复、日志查看、基本网络参数配置</t>
  </si>
  <si>
    <t>DS-3E2528-H(B)</t>
  </si>
  <si>
    <t>二层网管型全千兆交换机（24千兆电+4千兆光）
DS-3E2528-H（B）交换机支持所有端口线速转发，满足了用户对高带宽的需求。DS-3E2528-H（B）交换机支持4端口千兆上行。DS-3E2528-H（B）交换机可支持不同端口设备的混合堆叠。具有即插即用、单一IP管理。同时大大降低系统扩展的成本，保护了用户投资。
DS-3E2528-H（B）交换机支持特有的ARP入侵检测功能，可有效防止黑客或攻击者通过ARP报文实施日趋盛行的“ARP欺骗攻击”。支持IP Source Guard特性，防止包括MAC欺骗、IP欺骗、MAC/IP欺骗在内的非法地址仿冒，以及DoS攻击。另外，利用DHCP Snooping的信任端口特性还可以有效杜绝私设DHCP服务器，保证DHCP环境的真实性和一致性。
DS-3E2528-H（B）交换机支持端口安全特性族，可以有效防范基于MAC地址的攻击，实现基于MAC地址允许/限制流量。
DS-3E2528-H（B）交换机提供802.1X和MAC认证方式对接入的用户进行认证，支持客户端软件版本检测、Guest VLAN等功能。通过这些功能的应用可以对用户的合法性进行充分的检查和控制，最大程度的减少非法用户对网络安全的危害。
多重可靠性保护DS-3E2528-H（B）交换机支持以太网OAM和CFD，可以有效提高对以太网的管理和维护能力，保障网络的稳定运行。
DS-3E2528-H（B）交换机支持Smart Link和Monitor Link， 可以为双上行链路提供更高效，更可靠的链路备份。
DS-3E2528-H（B）交换机支持RRPP，可为环形组网提供更快的拓扑收敛H， 使数据传输更为稳定。
DS-3E2528-H（B）交换机支持端口限速以及流限速功能，防止恶意侵占网络带宽，也为网络带宽的精细化管理提供了手段。
DS-3E2528-H（B）交换机支持丰富的队列调度算法，可以以不同的优先级将报文放入端口的输出队列。
DS-3E2528-H（B）交换机支持丰富的IPv6管理功能及支持丰富的IPv6业务特性等。
DS-3E2528-H（B）交换机采用专业的内置防雷技术，支持业界领先的7KV业务端口防雷能力，使其在比较恶劣的工作环境中也能极大的降低雷击对设备的损坏率。
DS-3E2528-H（B）是新一代绿色节能以太网交换机，采用多种绿色节能设计，包括auto-power-down（端口自动节能），如果在一段时间内接口状态始终为down，则系统自动停止对该接口供电，自动进入节能模式；支持一键节能模式，通过控制设备上指示灯亮/灭以及端口节能状态降低能耗；支持EEE节能功能，端口如果在连续一段时间之内空闲，系统会将该端口设置为节能模式，当有报文收发时再通过定时发送的监听码流唤醒端口恢复业务，达到节能的效果，满足材料环保与安全性的欧盟RoHS标准。
DS-3E2528-H（B）交换机支持通过FTP、TFTP实现设备的远程升级，支持SNMP v1/v2/v3，可支持Open View等通用网管平台。支持CLI命令行，Web网管，TELNET，使设备管理更方便。并且支持SSH2.0等加密方式，使得管理更加安全。 
交换容量：336Gbps/3.36Tbps
包转发率：42Mpps/96Mpps
VLAN容量：4K 
端口：24个10/100/1000Base-T以太网端口
4个1000Base-X以太网端口
重量：≤2.5kg
尺寸（长×高×深）：440×43.6×160
工作温度：0℃～40℃ 
工作湿度：运行环境湿度：5%～95%（非凝结）
存储湿度：存储环境湿度：5%～95%（非凝结）
供电方式：AC：100V～240V AC，50/60Hz
安装方式：机架式（1U高，19英寸宽）
整机功耗：静态功耗：9W
满负载功耗：23W 
链路聚合：支持LACP
支持手工聚合
每个聚合组最大支持8个端口
端口镜像：支持端口镜像
支持流镜像
QoS：支持Diff-Serv QoS
每个端口支持8个输出队列
支持802.1p/DSCP优先级映射
支持队列调度机制
支持优先级标记Mark/Remark
支持基于流的包过滤
支持基于流的重定向
支持基于流的限速
支持Voice VLAN
VLAN：支持基于端口的VLAN（4K个）
支持基于MAC的VLAN
支持基于协议的VLAN
支持GVRP
支持QinQ、灵活QinQ
支持VLAN Mapping
支持GUEST VLAN
STP：支持STP/RSTP/MSTP
组播：支持IGMP Snooping、支持快速离开
支持MLD Snooping 
支持组播VLAN
安全特性：用户分级管理和口令保护
支持Guest VLAN
支持IEEE 802.1X认证/集中MAC地址认证
支持EAD快速部署
支持AAA&amp;RADIUS&amp;HWTACACS认证
支持MAC地址学习数目限制
支持MAC地址黑洞
支持SSH 2.0，为用户登录提供安全加密通道
支持SSL，保障数据传输安全
支持HABP
支持SAVI 源地址有效性验证
支持端口隔离
支持ARP报文限速功能 
支持IP 源地址保护
支持ARP入侵检测功能
支持防Dos攻击
支持广播报文抑制
支持主备数据备份机制
支持IP＋端口的绑定、IP+MAC的绑定、端口＋MAC的绑定、IP+MAC+端口的绑定、IP+MAC+端口+VLAN的绑定的功能
支持CPU防护功能
管理维护：支持Console/AUX Modem/Telnet/SSH2.0 命令行配置
支持FTP、TFTP、Xmodem、SFTP文件上下载管理
支持SNMP V1/V2c/V3
支持RMON
支持VCT电缆检测功能
支持TR069
支持NTP时钟
支持系统工作日志
支持集群管理
IPV4路由：支持IPv4静态路由，RIP，ospf
IPV6路由：支持IPv4和IPv6双协议栈
支持IPv6静态路由
支持ND、PMTUD
支持Pingv6、Telnetv6、FTPv6、TFTPv6、ICMPv6
ACL：支持L2～L4包过滤功能，可以匹配报文前80个字节，提供基于源MAC地址、目的MAC地址、源IP地址、目的IP地址、IP协议类型、TCP/UDP端口、 TCP/UDP端口范围、VLAN等定义ACL。
支持基于端口、VLAN下发ACL
支持基于时间段（Time Range）的ACL
支持基于硬件的IPv6 ACL和QoS
DHCP：支持DHCP Server
支持DHCP Client
支持DHCP Relay
支持DHCP Snooping
支持DHCP Snooping Option82</t>
  </si>
  <si>
    <t>\爱普华顿AP-5E-01-FS</t>
  </si>
  <si>
    <t>AP-5E-01-FS 
护套材质：PE 
护套颜色：黑色
成品外径：5.1±0.2 
导体：99.99%纯铜
导体直径：24AWG
导体绝缘外径：0.88±0.05mm 
芯数：4*2 
特性阻抗:100±15Ω 
导体间介电强度，DC，1min：1Kv/1min 
工作电容最大值：≤5.6nF/100m 
单根导体最大电阻：≤9.5Ω/100m 
线对直流电阻不平衡性：≤2.5% 
敷设弯曲半径：建议敷设弯曲半径&gt;5倍线缆外径 
敷设拉力：建议敷设时短期拉力&lt;110N 
使用拉力：建议使用时长期拉力&lt;20N 
施工温度： 0～40℃ 
使用温度： -10～60℃ "</t>
  </si>
  <si>
    <t>\爱普华顿AP-5E-01</t>
  </si>
  <si>
    <t>护套材质：PVC 
护套颜色（可选）：默认灰色 
成品外径：5.3±0.3 
导体材质：99.99%无氧铜
导体直径：24AWG
导体绝缘外径：0.88±0.02mm 
芯数：4*2 
特性阻抗：100±15Ω 
导体间介电强度，DC，1min：1Kv/1min 
工作电容最大值：≤5.6nF/100m 
单根导体最大电阻：≤9.5Ω/100m 
线对直流电阻不平衡性：≤2.5% 
最小互电容：47pf/m 
最大平衡电容：300pf/km 
最大电流平衡：2%   
敷设弯曲半径：建议敷设弯曲半径&gt;5倍线缆外径 
敷设拉力：建议敷设时短期拉力&lt;110N 
使用拉力：建议使用时长期拉力&lt;20N 
施工温度： 0～40℃ 
使用温度： -10～60℃"</t>
  </si>
  <si>
    <t>G36618</t>
  </si>
  <si>
    <r>
      <t>1000*600*600 含2个托板1个公牛PDU，  网格门                                                                                                                                                                                          基本参数</t>
    </r>
    <r>
      <rPr>
        <sz val="8"/>
        <rFont val="Times New Roman"/>
        <charset val="134"/>
      </rPr>
      <t>​</t>
    </r>
    <r>
      <rPr>
        <sz val="8"/>
        <rFont val="微软雅黑"/>
        <charset val="134"/>
      </rPr>
      <t xml:space="preserve">
型号：G26618
产品类型：网络机柜
机柜容量：18U
尺寸规格</t>
    </r>
    <r>
      <rPr>
        <sz val="8"/>
        <rFont val="Times New Roman"/>
        <charset val="134"/>
      </rPr>
      <t>​</t>
    </r>
    <r>
      <rPr>
        <sz val="8"/>
        <rFont val="微软雅黑"/>
        <charset val="134"/>
      </rPr>
      <t xml:space="preserve">
宽度：600mm
深度：600mm
高度：988mm
重量：约20千克
材料工艺</t>
    </r>
    <r>
      <rPr>
        <sz val="8"/>
        <rFont val="Times New Roman"/>
        <charset val="134"/>
      </rPr>
      <t>​</t>
    </r>
    <r>
      <rPr>
        <sz val="8"/>
        <rFont val="微软雅黑"/>
        <charset val="134"/>
      </rPr>
      <t xml:space="preserve">
材料：SPSS优质冷轧钢板（厚度1.2mm-1.5mm）
表面处理：脱脂硅烷化处理喷塑
结构特性</t>
    </r>
    <r>
      <rPr>
        <sz val="8"/>
        <rFont val="Times New Roman"/>
        <charset val="134"/>
      </rPr>
      <t>​</t>
    </r>
    <r>
      <rPr>
        <sz val="8"/>
        <rFont val="微软雅黑"/>
        <charset val="134"/>
      </rPr>
      <t xml:space="preserve">
承重能力：最大800kg
前门：钢化玻璃门（70%透气）
后门：穿孔钢板门（80%穿孔）
支持风扇模块扩展（可安装4-6个风扇）
标准认证</t>
    </r>
    <r>
      <rPr>
        <sz val="8"/>
        <rFont val="Times New Roman"/>
        <charset val="134"/>
      </rPr>
      <t>​</t>
    </r>
    <r>
      <rPr>
        <sz val="8"/>
        <rFont val="微软雅黑"/>
        <charset val="134"/>
      </rPr>
      <t xml:space="preserve">
符合ANSI/EIA RS-310-D、IEC297、DIN41491、GB/T3047.2-92等标准，兼容ETSI标准</t>
    </r>
  </si>
  <si>
    <t>辅材</t>
  </si>
  <si>
    <t>包含水晶头、镀锌管、镀锌管配件等</t>
  </si>
  <si>
    <t>合计(元)：800万像素</t>
  </si>
  <si>
    <t>合计(元)：400万像素</t>
  </si>
  <si>
    <t>合计(元)：400万室内+600万室外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</si>
</sst>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4"/>
      <color indexed="8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8"/>
      <name val="微软雅黑"/>
      <charset val="134"/>
    </font>
    <font>
      <sz val="8"/>
      <color rgb="FF000000"/>
      <name val="微软雅黑"/>
      <charset val="134"/>
    </font>
    <font>
      <sz val="10"/>
      <color rgb="FF000000"/>
      <name val="宋体"/>
      <charset val="134"/>
    </font>
    <font>
      <b/>
      <sz val="9"/>
      <color indexed="8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8"/>
      <color rgb="FFFF0000"/>
      <name val="微软雅黑"/>
      <charset val="134"/>
    </font>
    <font>
      <sz val="8"/>
      <name val="Times New Roman"/>
      <charset val="134"/>
    </font>
  </fonts>
  <fills count="37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4506668294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4506668294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4506668294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45066682943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4506668294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14548173467"/>
      </bottom>
      <diagonal/>
    </border>
  </borders>
  <cellStyleXfs count="8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6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8" borderId="12" applyNumberFormat="0" applyAlignment="0" applyProtection="0">
      <alignment vertical="center"/>
    </xf>
    <xf numFmtId="0" fontId="20" fillId="8" borderId="11" applyNumberFormat="0" applyAlignment="0" applyProtection="0">
      <alignment vertical="center"/>
    </xf>
    <xf numFmtId="0" fontId="21" fillId="9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9" fillId="0" borderId="0" applyNumberFormat="0" applyFill="0" applyAlignment="0" applyProtection="0">
      <alignment vertical="center"/>
    </xf>
    <xf numFmtId="0" fontId="27" fillId="0" borderId="0" applyNumberFormat="0" applyFill="0" applyAlignment="0" applyProtection="0">
      <alignment vertical="center"/>
    </xf>
    <xf numFmtId="0" fontId="27" fillId="0" borderId="0" applyNumberFormat="0" applyFill="0" applyAlignment="0" applyProtection="0">
      <alignment vertical="center"/>
    </xf>
    <xf numFmtId="0" fontId="27" fillId="0" borderId="0" applyNumberFormat="0" applyFill="0" applyAlignment="0" applyProtection="0">
      <alignment vertical="center"/>
    </xf>
    <xf numFmtId="0" fontId="27" fillId="0" borderId="0" applyNumberFormat="0" applyFill="0" applyAlignment="0" applyProtection="0">
      <alignment vertical="center"/>
    </xf>
    <xf numFmtId="0" fontId="27" fillId="0" borderId="0" applyNumberFormat="0" applyFill="0" applyAlignment="0" applyProtection="0">
      <alignment vertical="center"/>
    </xf>
    <xf numFmtId="0" fontId="27" fillId="0" borderId="0" applyNumberFormat="0" applyFill="0" applyAlignment="0" applyProtection="0">
      <alignment vertical="center"/>
    </xf>
    <xf numFmtId="0" fontId="17" fillId="0" borderId="16" applyNumberFormat="0" applyFill="0" applyAlignment="0" applyProtection="0">
      <alignment vertical="center"/>
    </xf>
    <xf numFmtId="0" fontId="17" fillId="0" borderId="0" applyNumberFormat="0" applyFill="0" applyAlignment="0" applyProtection="0">
      <alignment vertical="center"/>
    </xf>
    <xf numFmtId="0" fontId="13" fillId="0" borderId="0" applyNumberFormat="0" applyFill="0" applyAlignment="0" applyProtection="0">
      <alignment vertical="center"/>
    </xf>
    <xf numFmtId="0" fontId="25" fillId="0" borderId="0" applyNumberFormat="0" applyFill="0" applyAlignment="0" applyProtection="0">
      <alignment vertical="center"/>
    </xf>
    <xf numFmtId="0" fontId="0" fillId="0" borderId="0" applyNumberFormat="0" applyFill="0" applyAlignment="0" applyProtection="0"/>
    <xf numFmtId="0" fontId="0" fillId="0" borderId="0"/>
    <xf numFmtId="0" fontId="0" fillId="0" borderId="0"/>
    <xf numFmtId="0" fontId="24" fillId="0" borderId="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4" fillId="0" borderId="0" applyNumberFormat="0" applyFill="0" applyAlignment="0" applyProtection="0">
      <alignment vertical="center"/>
    </xf>
    <xf numFmtId="0" fontId="12" fillId="0" borderId="0" applyNumberFormat="0" applyFill="0" applyAlignment="0" applyProtection="0">
      <alignment vertical="center"/>
    </xf>
    <xf numFmtId="0" fontId="26" fillId="0" borderId="0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27" fillId="0" borderId="0" applyNumberFormat="0" applyFill="0" applyAlignment="0" applyProtection="0">
      <alignment vertical="center"/>
    </xf>
    <xf numFmtId="0" fontId="27" fillId="0" borderId="0" applyNumberFormat="0" applyFill="0" applyAlignment="0" applyProtection="0">
      <alignment vertical="center"/>
    </xf>
    <xf numFmtId="0" fontId="27" fillId="0" borderId="0" applyNumberFormat="0" applyFill="0" applyAlignment="0" applyProtection="0">
      <alignment vertical="center"/>
    </xf>
    <xf numFmtId="0" fontId="27" fillId="0" borderId="0" applyNumberFormat="0" applyFill="0" applyAlignment="0" applyProtection="0">
      <alignment vertical="center"/>
    </xf>
    <xf numFmtId="0" fontId="27" fillId="0" borderId="0" applyNumberFormat="0" applyFill="0" applyAlignment="0" applyProtection="0">
      <alignment vertical="center"/>
    </xf>
    <xf numFmtId="0" fontId="27" fillId="0" borderId="0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3" borderId="1" xfId="72" applyFont="1" applyFill="1" applyBorder="1" applyAlignment="1">
      <alignment horizontal="center" vertical="center" wrapText="1"/>
    </xf>
    <xf numFmtId="0" fontId="3" fillId="3" borderId="2" xfId="72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1" fillId="0" borderId="3" xfId="0" applyFont="1" applyBorder="1" applyAlignment="1">
      <alignment vertical="center" wrapText="1"/>
    </xf>
    <xf numFmtId="0" fontId="5" fillId="0" borderId="3" xfId="0" applyFont="1" applyFill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NumberFormat="1" applyFont="1" applyFill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Alignment="1">
      <alignment horizontal="left" vertical="center" indent="2"/>
    </xf>
    <xf numFmtId="0" fontId="1" fillId="0" borderId="0" xfId="0" applyFont="1" applyAlignment="1">
      <alignment horizontal="left" vertical="center" indent="1"/>
    </xf>
  </cellXfs>
  <cellStyles count="8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20% - 着色 1 2" xfId="49"/>
    <cellStyle name="20% - 着色 2 2" xfId="50"/>
    <cellStyle name="20% - 着色 3 2" xfId="51"/>
    <cellStyle name="20% - 着色 4 2" xfId="52"/>
    <cellStyle name="20% - 着色 5 2" xfId="53"/>
    <cellStyle name="20% - 着色 6 2" xfId="54"/>
    <cellStyle name="40% - 着色 1 2" xfId="55"/>
    <cellStyle name="40% - 着色 2 2" xfId="56"/>
    <cellStyle name="40% - 着色 3 2" xfId="57"/>
    <cellStyle name="40% - 着色 4 2" xfId="58"/>
    <cellStyle name="40% - 着色 5 2" xfId="59"/>
    <cellStyle name="40% - 着色 6 2" xfId="60"/>
    <cellStyle name="60% - 着色 1 2" xfId="61"/>
    <cellStyle name="60% - 着色 2 2" xfId="62"/>
    <cellStyle name="60% - 着色 3 2" xfId="63"/>
    <cellStyle name="60% - 着色 4 2" xfId="64"/>
    <cellStyle name="60% - 着色 5 2" xfId="65"/>
    <cellStyle name="60% - 着色 6 2" xfId="66"/>
    <cellStyle name="标题 3 2" xfId="67"/>
    <cellStyle name="标题 4 2" xfId="68"/>
    <cellStyle name="标题 5" xfId="69"/>
    <cellStyle name="差 2" xfId="70"/>
    <cellStyle name="常规 2" xfId="71"/>
    <cellStyle name="常规 4" xfId="72"/>
    <cellStyle name="常规 4 2" xfId="73"/>
    <cellStyle name="好 2" xfId="74"/>
    <cellStyle name="计算 2" xfId="75"/>
    <cellStyle name="检查单元格 2" xfId="76"/>
    <cellStyle name="解释性文本 2" xfId="77"/>
    <cellStyle name="警告文本 2" xfId="78"/>
    <cellStyle name="适中 2" xfId="79"/>
    <cellStyle name="输出 2" xfId="80"/>
    <cellStyle name="输入 2" xfId="81"/>
    <cellStyle name="着色 1 2" xfId="82"/>
    <cellStyle name="着色 2 2" xfId="83"/>
    <cellStyle name="着色 3 2" xfId="84"/>
    <cellStyle name="着色 4 2" xfId="85"/>
    <cellStyle name="着色 5 2" xfId="86"/>
    <cellStyle name="着色 6 2" xfId="87"/>
    <cellStyle name="注释 2" xfId="88"/>
  </cellStyles>
  <tableStyles count="0" defaultTableStyle="TableStyleMedium2" defaultPivotStyle="PivotStyleLight16"/>
  <colors>
    <mruColors>
      <color rgb="00C00000"/>
      <color rgb="00FFFFFF"/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480060</xdr:colOff>
      <xdr:row>2</xdr:row>
      <xdr:rowOff>392430</xdr:rowOff>
    </xdr:from>
    <xdr:to>
      <xdr:col>13</xdr:col>
      <xdr:colOff>1414145</xdr:colOff>
      <xdr:row>2</xdr:row>
      <xdr:rowOff>1254125</xdr:rowOff>
    </xdr:to>
    <xdr:pic>
      <xdr:nvPicPr>
        <xdr:cNvPr id="1033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166860" y="1319530"/>
          <a:ext cx="934085" cy="8616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13</xdr:col>
      <xdr:colOff>114300</xdr:colOff>
      <xdr:row>6</xdr:row>
      <xdr:rowOff>90805</xdr:rowOff>
    </xdr:from>
    <xdr:to>
      <xdr:col>13</xdr:col>
      <xdr:colOff>832485</xdr:colOff>
      <xdr:row>6</xdr:row>
      <xdr:rowOff>837565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01100" y="5920105"/>
          <a:ext cx="718185" cy="746760"/>
        </a:xfrm>
        <a:prstGeom prst="rect">
          <a:avLst/>
        </a:prstGeom>
      </xdr:spPr>
    </xdr:pic>
    <xdr:clientData/>
  </xdr:twoCellAnchor>
  <xdr:twoCellAnchor editAs="oneCell">
    <xdr:from>
      <xdr:col>13</xdr:col>
      <xdr:colOff>247650</xdr:colOff>
      <xdr:row>3</xdr:row>
      <xdr:rowOff>88900</xdr:rowOff>
    </xdr:from>
    <xdr:to>
      <xdr:col>13</xdr:col>
      <xdr:colOff>1706880</xdr:colOff>
      <xdr:row>3</xdr:row>
      <xdr:rowOff>812165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934450" y="2565400"/>
          <a:ext cx="1459230" cy="7232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171450</xdr:colOff>
      <xdr:row>5</xdr:row>
      <xdr:rowOff>22225</xdr:rowOff>
    </xdr:from>
    <xdr:to>
      <xdr:col>13</xdr:col>
      <xdr:colOff>1672590</xdr:colOff>
      <xdr:row>5</xdr:row>
      <xdr:rowOff>740410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858250" y="3870325"/>
          <a:ext cx="1501140" cy="718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276225</xdr:colOff>
      <xdr:row>5</xdr:row>
      <xdr:rowOff>1089025</xdr:rowOff>
    </xdr:from>
    <xdr:to>
      <xdr:col>13</xdr:col>
      <xdr:colOff>1731645</xdr:colOff>
      <xdr:row>5</xdr:row>
      <xdr:rowOff>1597025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963025" y="4937125"/>
          <a:ext cx="1455420" cy="508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57150</xdr:colOff>
      <xdr:row>7</xdr:row>
      <xdr:rowOff>76200</xdr:rowOff>
    </xdr:from>
    <xdr:to>
      <xdr:col>13</xdr:col>
      <xdr:colOff>1104900</xdr:colOff>
      <xdr:row>7</xdr:row>
      <xdr:rowOff>400050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743950" y="6794500"/>
          <a:ext cx="1047750" cy="3238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57150</xdr:colOff>
      <xdr:row>8</xdr:row>
      <xdr:rowOff>55880</xdr:rowOff>
    </xdr:from>
    <xdr:to>
      <xdr:col>13</xdr:col>
      <xdr:colOff>1086485</xdr:colOff>
      <xdr:row>8</xdr:row>
      <xdr:rowOff>368935</xdr:rowOff>
    </xdr:to>
    <xdr:pic>
      <xdr:nvPicPr>
        <xdr:cNvPr id="10" name="图片 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743950" y="7256780"/>
          <a:ext cx="1029335" cy="3130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85725</xdr:colOff>
      <xdr:row>9</xdr:row>
      <xdr:rowOff>149860</xdr:rowOff>
    </xdr:from>
    <xdr:to>
      <xdr:col>13</xdr:col>
      <xdr:colOff>1057275</xdr:colOff>
      <xdr:row>9</xdr:row>
      <xdr:rowOff>385445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772525" y="7833360"/>
          <a:ext cx="971550" cy="2355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9"/>
  <sheetViews>
    <sheetView tabSelected="1" workbookViewId="0">
      <pane ySplit="2" topLeftCell="A3" activePane="bottomLeft" state="frozen"/>
      <selection/>
      <selection pane="bottomLeft" activeCell="J6" sqref="J6"/>
    </sheetView>
  </sheetViews>
  <sheetFormatPr defaultColWidth="9" defaultRowHeight="13.5" customHeight="1"/>
  <cols>
    <col min="1" max="1" width="6.125" style="1" customWidth="1"/>
    <col min="2" max="2" width="10.875" style="2" customWidth="1"/>
    <col min="3" max="4" width="7.75" style="3" customWidth="1"/>
    <col min="5" max="5" width="9.5" style="3" customWidth="1"/>
    <col min="6" max="6" width="10.875" style="2" customWidth="1"/>
    <col min="7" max="8" width="7.75" style="3" customWidth="1"/>
    <col min="9" max="9" width="9.5" style="3" customWidth="1"/>
    <col min="10" max="10" width="10.875" style="2" customWidth="1"/>
    <col min="11" max="11" width="5.125" style="3" customWidth="1"/>
    <col min="12" max="12" width="10.625" style="3" customWidth="1"/>
    <col min="13" max="13" width="9.5" style="3" customWidth="1"/>
    <col min="14" max="14" width="26.5" style="4" customWidth="1"/>
    <col min="15" max="15" width="93.25" style="5" customWidth="1"/>
    <col min="16" max="16" width="41.5" style="4" customWidth="1"/>
    <col min="17" max="17" width="14.125" style="4" customWidth="1"/>
    <col min="18" max="18" width="9" style="4"/>
    <col min="19" max="20" width="5.625" style="4" customWidth="1"/>
    <col min="21" max="21" width="8.375" style="4" customWidth="1"/>
    <col min="22" max="22" width="9.375" style="4" customWidth="1"/>
    <col min="23" max="25" width="15.625" style="4" customWidth="1"/>
    <col min="26" max="26" width="10.5" style="4" customWidth="1"/>
    <col min="27" max="29" width="14.375" style="4" customWidth="1"/>
    <col min="30" max="31" width="26.5" style="4" customWidth="1"/>
    <col min="32" max="16384" width="9" style="4"/>
  </cols>
  <sheetData>
    <row r="1" ht="23" customHeight="1" spans="1:1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6"/>
      <c r="O1" s="6"/>
    </row>
    <row r="2" ht="50" customHeight="1" spans="1:15">
      <c r="A2" s="8" t="s">
        <v>1</v>
      </c>
      <c r="B2" s="8" t="s">
        <v>2</v>
      </c>
      <c r="C2" s="9" t="s">
        <v>3</v>
      </c>
      <c r="D2" s="8" t="s">
        <v>4</v>
      </c>
      <c r="E2" s="8" t="s">
        <v>5</v>
      </c>
      <c r="F2" s="8" t="s">
        <v>6</v>
      </c>
      <c r="G2" s="8" t="s">
        <v>3</v>
      </c>
      <c r="H2" s="8" t="s">
        <v>4</v>
      </c>
      <c r="I2" s="8" t="s">
        <v>7</v>
      </c>
      <c r="J2" s="8" t="s">
        <v>8</v>
      </c>
      <c r="K2" s="9" t="s">
        <v>3</v>
      </c>
      <c r="L2" s="8" t="s">
        <v>4</v>
      </c>
      <c r="M2" s="8" t="s">
        <v>5</v>
      </c>
      <c r="N2" s="8" t="s">
        <v>9</v>
      </c>
      <c r="O2" s="10" t="s">
        <v>10</v>
      </c>
    </row>
    <row r="3" ht="122" customHeight="1" spans="1:15">
      <c r="A3" s="11">
        <v>1</v>
      </c>
      <c r="B3" s="12" t="s">
        <v>11</v>
      </c>
      <c r="C3" s="11">
        <v>12</v>
      </c>
      <c r="D3" s="11">
        <v>750</v>
      </c>
      <c r="E3" s="11">
        <f>C3*D3</f>
        <v>9000</v>
      </c>
      <c r="F3" s="13" t="s">
        <v>12</v>
      </c>
      <c r="G3" s="11">
        <v>12</v>
      </c>
      <c r="H3" s="11">
        <v>620</v>
      </c>
      <c r="I3" s="11">
        <f>H3*G3</f>
        <v>7440</v>
      </c>
      <c r="J3" s="13" t="s">
        <v>12</v>
      </c>
      <c r="K3" s="11">
        <v>12</v>
      </c>
      <c r="L3" s="11">
        <v>620</v>
      </c>
      <c r="M3" s="11">
        <f>L3*K3</f>
        <v>7440</v>
      </c>
      <c r="N3" s="12" t="s">
        <v>13</v>
      </c>
      <c r="O3" s="14" t="s">
        <v>14</v>
      </c>
    </row>
    <row r="4" ht="75" customHeight="1" spans="1:15">
      <c r="A4" s="11">
        <v>2</v>
      </c>
      <c r="B4" s="12" t="s">
        <v>15</v>
      </c>
      <c r="C4" s="11">
        <v>8</v>
      </c>
      <c r="D4" s="11">
        <v>730</v>
      </c>
      <c r="E4" s="11">
        <f>C4*D4</f>
        <v>5840</v>
      </c>
      <c r="F4" s="12" t="s">
        <v>16</v>
      </c>
      <c r="G4" s="11">
        <v>8</v>
      </c>
      <c r="H4" s="11">
        <v>605</v>
      </c>
      <c r="I4" s="11">
        <f>H4*G4</f>
        <v>4840</v>
      </c>
      <c r="J4" s="15" t="s">
        <v>17</v>
      </c>
      <c r="K4" s="11">
        <v>8</v>
      </c>
      <c r="L4" s="11">
        <v>620</v>
      </c>
      <c r="M4" s="11">
        <f>L4*K4</f>
        <v>4960</v>
      </c>
      <c r="N4" s="12" t="s">
        <v>13</v>
      </c>
      <c r="O4" s="14" t="s">
        <v>18</v>
      </c>
    </row>
    <row r="5" ht="33" customHeight="1" spans="1:15">
      <c r="A5" s="11">
        <v>3</v>
      </c>
      <c r="B5" s="12" t="s">
        <v>19</v>
      </c>
      <c r="C5" s="11">
        <v>8</v>
      </c>
      <c r="D5" s="11">
        <v>25</v>
      </c>
      <c r="E5" s="11">
        <f>C5*D5</f>
        <v>200</v>
      </c>
      <c r="F5" s="12"/>
      <c r="G5" s="11">
        <v>8</v>
      </c>
      <c r="H5" s="11">
        <v>25</v>
      </c>
      <c r="I5" s="11">
        <f>H5*G5</f>
        <v>200</v>
      </c>
      <c r="J5" s="12"/>
      <c r="K5" s="11">
        <v>8</v>
      </c>
      <c r="L5" s="11">
        <v>25</v>
      </c>
      <c r="M5" s="11">
        <f>L5*K5</f>
        <v>200</v>
      </c>
      <c r="N5" s="12" t="s">
        <v>13</v>
      </c>
      <c r="O5" s="15" t="s">
        <v>20</v>
      </c>
    </row>
    <row r="6" ht="156" customHeight="1" spans="1:15">
      <c r="A6" s="11">
        <v>4</v>
      </c>
      <c r="B6" s="12" t="s">
        <v>21</v>
      </c>
      <c r="C6" s="11">
        <v>1</v>
      </c>
      <c r="D6" s="11">
        <v>9950</v>
      </c>
      <c r="E6" s="11">
        <f t="shared" ref="E6:E14" si="0">C6*D6</f>
        <v>9950</v>
      </c>
      <c r="F6" s="12" t="s">
        <v>22</v>
      </c>
      <c r="G6" s="11">
        <v>1</v>
      </c>
      <c r="H6" s="11">
        <v>7301</v>
      </c>
      <c r="I6" s="11">
        <f t="shared" ref="I6:I14" si="1">H6*G6</f>
        <v>7301</v>
      </c>
      <c r="J6" s="12" t="s">
        <v>22</v>
      </c>
      <c r="K6" s="11">
        <v>1</v>
      </c>
      <c r="L6" s="11">
        <v>7301</v>
      </c>
      <c r="M6" s="11">
        <f t="shared" ref="M6:M14" si="2">L6*K6</f>
        <v>7301</v>
      </c>
      <c r="N6" s="12"/>
      <c r="O6" s="16" t="s">
        <v>23</v>
      </c>
    </row>
    <row r="7" ht="70" customHeight="1" spans="1:15">
      <c r="A7" s="17">
        <v>5</v>
      </c>
      <c r="B7" s="18" t="s">
        <v>24</v>
      </c>
      <c r="C7" s="17">
        <v>12</v>
      </c>
      <c r="D7" s="17">
        <v>6900</v>
      </c>
      <c r="E7" s="17">
        <f>D7*C7</f>
        <v>82800</v>
      </c>
      <c r="F7" s="18" t="s">
        <v>25</v>
      </c>
      <c r="G7" s="17">
        <v>6</v>
      </c>
      <c r="H7" s="17">
        <v>6900</v>
      </c>
      <c r="I7" s="17">
        <f t="shared" si="1"/>
        <v>41400</v>
      </c>
      <c r="J7" s="18" t="s">
        <v>26</v>
      </c>
      <c r="K7" s="17">
        <v>8</v>
      </c>
      <c r="L7" s="17">
        <v>6900</v>
      </c>
      <c r="M7" s="17">
        <f t="shared" si="2"/>
        <v>55200</v>
      </c>
      <c r="N7" s="18" t="s">
        <v>13</v>
      </c>
      <c r="O7" s="14" t="s">
        <v>27</v>
      </c>
    </row>
    <row r="8" ht="38" customHeight="1" spans="1:15">
      <c r="A8" s="11">
        <v>6</v>
      </c>
      <c r="B8" s="12" t="s">
        <v>28</v>
      </c>
      <c r="C8" s="11">
        <v>1</v>
      </c>
      <c r="D8" s="11">
        <v>1350</v>
      </c>
      <c r="E8" s="11">
        <f t="shared" si="0"/>
        <v>1350</v>
      </c>
      <c r="F8" s="12"/>
      <c r="G8" s="11">
        <v>1</v>
      </c>
      <c r="H8" s="11">
        <v>1350</v>
      </c>
      <c r="I8" s="11">
        <f t="shared" si="1"/>
        <v>1350</v>
      </c>
      <c r="J8" s="12"/>
      <c r="K8" s="11">
        <v>1</v>
      </c>
      <c r="L8" s="11">
        <v>1350</v>
      </c>
      <c r="M8" s="11">
        <f t="shared" si="2"/>
        <v>1350</v>
      </c>
      <c r="N8" s="12"/>
      <c r="O8" s="15" t="s">
        <v>29</v>
      </c>
    </row>
    <row r="9" ht="38" customHeight="1" spans="1:15">
      <c r="A9" s="11">
        <v>7</v>
      </c>
      <c r="B9" s="12" t="s">
        <v>30</v>
      </c>
      <c r="C9" s="11">
        <v>1</v>
      </c>
      <c r="D9" s="11">
        <v>750</v>
      </c>
      <c r="E9" s="11">
        <f t="shared" si="0"/>
        <v>750</v>
      </c>
      <c r="F9" s="12"/>
      <c r="G9" s="11">
        <v>1</v>
      </c>
      <c r="H9" s="11">
        <v>750</v>
      </c>
      <c r="I9" s="11">
        <f t="shared" si="1"/>
        <v>750</v>
      </c>
      <c r="J9" s="12"/>
      <c r="K9" s="11">
        <v>1</v>
      </c>
      <c r="L9" s="11">
        <v>750</v>
      </c>
      <c r="M9" s="11">
        <f t="shared" si="2"/>
        <v>750</v>
      </c>
      <c r="N9" s="12"/>
      <c r="O9" s="15" t="s">
        <v>31</v>
      </c>
    </row>
    <row r="10" ht="41.8" customHeight="1" spans="1:15">
      <c r="A10" s="11">
        <v>8</v>
      </c>
      <c r="B10" s="12" t="s">
        <v>32</v>
      </c>
      <c r="C10" s="11">
        <v>1</v>
      </c>
      <c r="D10" s="11">
        <v>2000</v>
      </c>
      <c r="E10" s="11">
        <f t="shared" si="0"/>
        <v>2000</v>
      </c>
      <c r="F10" s="12"/>
      <c r="G10" s="11">
        <v>1</v>
      </c>
      <c r="H10" s="11">
        <v>2000</v>
      </c>
      <c r="I10" s="11">
        <f t="shared" si="1"/>
        <v>2000</v>
      </c>
      <c r="J10" s="12"/>
      <c r="K10" s="11">
        <v>1</v>
      </c>
      <c r="L10" s="11">
        <v>2000</v>
      </c>
      <c r="M10" s="11">
        <f t="shared" si="2"/>
        <v>2000</v>
      </c>
      <c r="N10" s="12"/>
      <c r="O10" s="15" t="s">
        <v>33</v>
      </c>
    </row>
    <row r="11" ht="27" customHeight="1" spans="1:15">
      <c r="A11" s="11">
        <v>9</v>
      </c>
      <c r="B11" s="12" t="s">
        <v>34</v>
      </c>
      <c r="C11" s="11">
        <v>2</v>
      </c>
      <c r="D11" s="11">
        <v>726</v>
      </c>
      <c r="E11" s="11">
        <f t="shared" si="0"/>
        <v>1452</v>
      </c>
      <c r="F11" s="12"/>
      <c r="G11" s="11">
        <v>2</v>
      </c>
      <c r="H11" s="11">
        <v>726</v>
      </c>
      <c r="I11" s="11">
        <f t="shared" si="1"/>
        <v>1452</v>
      </c>
      <c r="J11" s="12"/>
      <c r="K11" s="11">
        <v>2</v>
      </c>
      <c r="L11" s="11">
        <v>726</v>
      </c>
      <c r="M11" s="11">
        <f t="shared" si="2"/>
        <v>1452</v>
      </c>
      <c r="N11" s="12" t="s">
        <v>13</v>
      </c>
      <c r="O11" s="15" t="s">
        <v>35</v>
      </c>
    </row>
    <row r="12" ht="27" customHeight="1" spans="1:15">
      <c r="A12" s="11">
        <v>10</v>
      </c>
      <c r="B12" s="12" t="s">
        <v>36</v>
      </c>
      <c r="C12" s="11">
        <v>2</v>
      </c>
      <c r="D12" s="11">
        <v>676</v>
      </c>
      <c r="E12" s="11">
        <f t="shared" si="0"/>
        <v>1352</v>
      </c>
      <c r="F12" s="12"/>
      <c r="G12" s="11">
        <v>2</v>
      </c>
      <c r="H12" s="11">
        <v>676</v>
      </c>
      <c r="I12" s="11">
        <f t="shared" si="1"/>
        <v>1352</v>
      </c>
      <c r="J12" s="12"/>
      <c r="K12" s="11">
        <v>2</v>
      </c>
      <c r="L12" s="11">
        <v>676</v>
      </c>
      <c r="M12" s="11">
        <f t="shared" si="2"/>
        <v>1352</v>
      </c>
      <c r="N12" s="12" t="s">
        <v>13</v>
      </c>
      <c r="O12" s="15" t="s">
        <v>37</v>
      </c>
    </row>
    <row r="13" ht="27" customHeight="1" spans="1:15">
      <c r="A13" s="11">
        <v>11</v>
      </c>
      <c r="B13" s="12" t="s">
        <v>38</v>
      </c>
      <c r="C13" s="11">
        <v>1</v>
      </c>
      <c r="D13" s="11">
        <v>1250</v>
      </c>
      <c r="E13" s="11">
        <f t="shared" si="0"/>
        <v>1250</v>
      </c>
      <c r="F13" s="12"/>
      <c r="G13" s="11">
        <v>1</v>
      </c>
      <c r="H13" s="11">
        <v>1250</v>
      </c>
      <c r="I13" s="11">
        <f t="shared" si="1"/>
        <v>1250</v>
      </c>
      <c r="J13" s="12"/>
      <c r="K13" s="11">
        <v>1</v>
      </c>
      <c r="L13" s="11">
        <v>1250</v>
      </c>
      <c r="M13" s="11">
        <f t="shared" si="2"/>
        <v>1250</v>
      </c>
      <c r="N13" s="12"/>
      <c r="O13" s="15" t="s">
        <v>39</v>
      </c>
    </row>
    <row r="14" ht="20" customHeight="1" spans="1:15">
      <c r="A14" s="11">
        <v>12</v>
      </c>
      <c r="B14" s="19" t="s">
        <v>40</v>
      </c>
      <c r="C14" s="20">
        <v>1</v>
      </c>
      <c r="D14" s="20">
        <v>0</v>
      </c>
      <c r="E14" s="20">
        <f t="shared" si="0"/>
        <v>0</v>
      </c>
      <c r="F14" s="19"/>
      <c r="G14" s="20">
        <v>1</v>
      </c>
      <c r="H14" s="20">
        <v>0</v>
      </c>
      <c r="I14" s="11">
        <f t="shared" si="1"/>
        <v>0</v>
      </c>
      <c r="J14" s="19"/>
      <c r="K14" s="20">
        <v>1</v>
      </c>
      <c r="L14" s="20">
        <v>0</v>
      </c>
      <c r="M14" s="11">
        <f t="shared" si="2"/>
        <v>0</v>
      </c>
      <c r="N14" s="19"/>
      <c r="O14" s="15" t="s">
        <v>41</v>
      </c>
    </row>
    <row r="15" ht="18" customHeight="1" spans="1:15">
      <c r="A15" s="21" t="s">
        <v>42</v>
      </c>
      <c r="B15" s="22"/>
      <c r="C15" s="22"/>
      <c r="D15" s="23"/>
      <c r="E15" s="24">
        <f>SUM(E3:E14)</f>
        <v>115944</v>
      </c>
      <c r="F15" s="21" t="s">
        <v>43</v>
      </c>
      <c r="G15" s="22"/>
      <c r="H15" s="23"/>
      <c r="I15" s="24">
        <f>SUM(I3:I14)</f>
        <v>69335</v>
      </c>
      <c r="J15" s="21" t="s">
        <v>44</v>
      </c>
      <c r="K15" s="22"/>
      <c r="L15" s="23"/>
      <c r="M15" s="24">
        <f>SUM(M3:M14)</f>
        <v>83255</v>
      </c>
      <c r="N15" s="25"/>
      <c r="O15" s="26"/>
    </row>
    <row r="16" customHeight="1" spans="1:15">
      <c r="B16" s="27"/>
      <c r="C16" s="28"/>
      <c r="D16" s="28"/>
      <c r="E16" s="28"/>
      <c r="F16" s="27"/>
      <c r="G16" s="28"/>
      <c r="H16" s="28"/>
      <c r="I16" s="28"/>
      <c r="J16" s="27"/>
      <c r="K16" s="28"/>
      <c r="L16" s="28"/>
      <c r="M16" s="28"/>
    </row>
    <row r="17" customHeight="1" spans="2:15">
      <c r="B17" s="27"/>
      <c r="C17" s="28"/>
      <c r="D17" s="28"/>
      <c r="E17" s="28"/>
      <c r="F17" s="27"/>
      <c r="G17" s="28"/>
      <c r="H17" s="28"/>
      <c r="I17" s="28"/>
      <c r="J17" s="27"/>
      <c r="K17" s="28"/>
      <c r="L17" s="28"/>
      <c r="M17" s="28"/>
      <c r="O17" s="29"/>
    </row>
    <row r="18" customHeight="1" spans="2:15">
      <c r="B18" s="27"/>
      <c r="C18" s="28"/>
      <c r="D18" s="28"/>
      <c r="E18" s="28"/>
      <c r="F18" s="27"/>
      <c r="G18" s="28"/>
      <c r="H18" s="28"/>
      <c r="I18" s="28"/>
      <c r="J18" s="27"/>
      <c r="K18" s="28"/>
      <c r="L18" s="28"/>
      <c r="M18" s="28"/>
    </row>
    <row r="19" customHeight="1" spans="2:15">
      <c r="B19" s="27"/>
      <c r="C19" s="28"/>
      <c r="D19" s="28"/>
      <c r="E19" s="28"/>
      <c r="F19" s="27"/>
      <c r="G19" s="28"/>
      <c r="H19" s="28"/>
      <c r="I19" s="28"/>
      <c r="J19" s="27"/>
      <c r="K19" s="28"/>
      <c r="L19" s="28"/>
      <c r="M19" s="28"/>
      <c r="O19" s="30"/>
    </row>
    <row r="20" customHeight="1" spans="2:15">
      <c r="B20" s="27"/>
      <c r="C20" s="28"/>
      <c r="D20" s="28"/>
      <c r="E20" s="28"/>
      <c r="F20" s="27"/>
      <c r="G20" s="28"/>
      <c r="H20" s="28"/>
      <c r="I20" s="28"/>
      <c r="J20" s="27"/>
      <c r="K20" s="28"/>
      <c r="L20" s="28"/>
      <c r="M20" s="28"/>
    </row>
    <row r="21" customHeight="1" spans="2:15">
      <c r="B21" s="27"/>
      <c r="C21" s="28"/>
      <c r="D21" s="28"/>
      <c r="E21" s="28"/>
      <c r="F21" s="27"/>
      <c r="G21" s="28"/>
      <c r="H21" s="28"/>
      <c r="I21" s="28"/>
      <c r="J21" s="27"/>
      <c r="K21" s="28"/>
      <c r="L21" s="28"/>
      <c r="M21" s="28"/>
    </row>
    <row r="22" customHeight="1" spans="2:15">
      <c r="B22" s="27"/>
      <c r="C22" s="28"/>
      <c r="D22" s="28"/>
      <c r="E22" s="28"/>
      <c r="F22" s="27"/>
      <c r="G22" s="28"/>
      <c r="H22" s="28"/>
      <c r="I22" s="28"/>
      <c r="J22" s="27"/>
      <c r="K22" s="28"/>
      <c r="L22" s="28"/>
      <c r="M22" s="28"/>
    </row>
    <row r="23" customHeight="1" spans="2:15">
      <c r="B23" s="27"/>
      <c r="C23" s="28"/>
      <c r="D23" s="28"/>
      <c r="E23" s="28"/>
      <c r="F23" s="27"/>
      <c r="G23" s="28"/>
      <c r="H23" s="28"/>
      <c r="I23" s="28"/>
      <c r="J23" s="27"/>
      <c r="K23" s="28"/>
      <c r="L23" s="28"/>
      <c r="M23" s="28"/>
    </row>
    <row r="24" customHeight="1" spans="2:15">
      <c r="B24" s="27"/>
      <c r="C24" s="28"/>
      <c r="D24" s="28"/>
      <c r="E24" s="28"/>
      <c r="F24" s="27"/>
      <c r="G24" s="28"/>
      <c r="H24" s="28"/>
      <c r="I24" s="28"/>
      <c r="J24" s="27"/>
      <c r="K24" s="28"/>
      <c r="L24" s="28"/>
      <c r="M24" s="28"/>
    </row>
    <row r="25" customHeight="1" spans="2:15">
      <c r="B25" s="27"/>
      <c r="C25" s="28"/>
      <c r="D25" s="28"/>
      <c r="E25" s="28"/>
      <c r="F25" s="27"/>
      <c r="G25" s="28"/>
      <c r="H25" s="28"/>
      <c r="I25" s="28"/>
      <c r="J25" s="27"/>
      <c r="K25" s="28"/>
      <c r="L25" s="28"/>
      <c r="M25" s="28"/>
    </row>
    <row r="26" customHeight="1" spans="2:15">
      <c r="B26" s="27"/>
      <c r="C26" s="28"/>
      <c r="D26" s="28"/>
      <c r="E26" s="28"/>
      <c r="F26" s="27"/>
      <c r="G26" s="28"/>
      <c r="H26" s="28"/>
      <c r="I26" s="28"/>
      <c r="J26" s="27"/>
      <c r="K26" s="28"/>
      <c r="L26" s="28"/>
      <c r="M26" s="28"/>
    </row>
    <row r="27" customHeight="1" spans="2:15">
      <c r="B27" s="27"/>
      <c r="C27" s="28"/>
      <c r="D27" s="28"/>
      <c r="E27" s="28"/>
      <c r="F27" s="27"/>
      <c r="G27" s="28"/>
      <c r="H27" s="28"/>
      <c r="I27" s="28"/>
      <c r="J27" s="27"/>
      <c r="K27" s="28"/>
      <c r="L27" s="28"/>
      <c r="M27" s="28"/>
    </row>
    <row r="28" customHeight="1" spans="2:15">
      <c r="B28" s="27"/>
      <c r="C28" s="28"/>
      <c r="D28" s="28"/>
      <c r="E28" s="28"/>
      <c r="F28" s="27"/>
      <c r="G28" s="28"/>
      <c r="H28" s="28"/>
      <c r="I28" s="28"/>
      <c r="J28" s="27"/>
      <c r="K28" s="28"/>
      <c r="L28" s="28"/>
      <c r="M28" s="28"/>
    </row>
    <row r="29" customHeight="1" spans="2:15">
      <c r="B29" s="27"/>
      <c r="C29" s="28"/>
      <c r="D29" s="28"/>
      <c r="E29" s="28"/>
      <c r="F29" s="27"/>
      <c r="G29" s="28"/>
      <c r="H29" s="28"/>
      <c r="I29" s="28"/>
      <c r="J29" s="27"/>
      <c r="K29" s="28"/>
      <c r="L29" s="28"/>
      <c r="M29" s="28"/>
    </row>
    <row r="30" customHeight="1" spans="2:15">
      <c r="B30" s="27"/>
      <c r="C30" s="28"/>
      <c r="D30" s="28"/>
      <c r="E30" s="28"/>
      <c r="F30" s="27"/>
      <c r="G30" s="28"/>
      <c r="H30" s="28"/>
      <c r="I30" s="28"/>
      <c r="J30" s="27"/>
      <c r="K30" s="28"/>
      <c r="L30" s="28"/>
      <c r="M30" s="28"/>
    </row>
    <row r="31" customHeight="1" spans="2:15">
      <c r="B31" s="27"/>
      <c r="C31" s="28"/>
      <c r="D31" s="28"/>
      <c r="E31" s="28"/>
      <c r="F31" s="27"/>
      <c r="G31" s="28"/>
      <c r="H31" s="28"/>
      <c r="I31" s="28"/>
      <c r="J31" s="27"/>
      <c r="K31" s="28"/>
      <c r="L31" s="28"/>
      <c r="M31" s="28"/>
    </row>
    <row r="32" customHeight="1" spans="2:15">
      <c r="B32" s="27"/>
      <c r="C32" s="28"/>
      <c r="D32" s="28"/>
      <c r="E32" s="28"/>
      <c r="F32" s="27"/>
      <c r="G32" s="28"/>
      <c r="H32" s="28"/>
      <c r="I32" s="28"/>
      <c r="J32" s="27"/>
      <c r="K32" s="28"/>
      <c r="L32" s="28"/>
      <c r="M32" s="28"/>
    </row>
    <row r="33" customHeight="1" spans="2:13">
      <c r="B33" s="27"/>
      <c r="C33" s="28"/>
      <c r="D33" s="28"/>
      <c r="E33" s="28"/>
      <c r="F33" s="27"/>
      <c r="G33" s="28"/>
      <c r="H33" s="28"/>
      <c r="I33" s="28"/>
      <c r="J33" s="27"/>
      <c r="K33" s="28"/>
      <c r="L33" s="28"/>
      <c r="M33" s="28"/>
    </row>
    <row r="34" customHeight="1" spans="2:13">
      <c r="B34" s="27"/>
      <c r="C34" s="28"/>
      <c r="D34" s="28"/>
      <c r="E34" s="28"/>
      <c r="F34" s="27"/>
      <c r="G34" s="28"/>
      <c r="H34" s="28"/>
      <c r="I34" s="28"/>
      <c r="J34" s="27"/>
      <c r="K34" s="28"/>
      <c r="L34" s="28"/>
      <c r="M34" s="28"/>
    </row>
    <row r="35" customHeight="1" spans="2:13">
      <c r="B35" s="27"/>
      <c r="C35" s="28"/>
      <c r="D35" s="28"/>
      <c r="E35" s="28"/>
      <c r="F35" s="27"/>
      <c r="G35" s="28"/>
      <c r="H35" s="28"/>
      <c r="I35" s="28"/>
      <c r="J35" s="27"/>
      <c r="K35" s="28"/>
      <c r="L35" s="28"/>
      <c r="M35" s="28"/>
    </row>
    <row r="36" customHeight="1" spans="2:13">
      <c r="B36" s="27"/>
      <c r="C36" s="28"/>
      <c r="D36" s="28"/>
      <c r="E36" s="28"/>
      <c r="F36" s="27"/>
      <c r="G36" s="28"/>
      <c r="H36" s="28"/>
      <c r="I36" s="28"/>
      <c r="J36" s="27"/>
      <c r="K36" s="28"/>
      <c r="L36" s="28"/>
      <c r="M36" s="28"/>
    </row>
    <row r="37" customHeight="1" spans="2:13">
      <c r="B37" s="27"/>
      <c r="C37" s="28"/>
      <c r="D37" s="28"/>
      <c r="E37" s="28"/>
      <c r="F37" s="27"/>
      <c r="G37" s="28"/>
      <c r="H37" s="28"/>
      <c r="I37" s="28"/>
      <c r="J37" s="27"/>
      <c r="K37" s="28"/>
      <c r="L37" s="28"/>
      <c r="M37" s="28"/>
    </row>
    <row r="38" customHeight="1" spans="2:13">
      <c r="B38" s="27"/>
      <c r="C38" s="28"/>
      <c r="D38" s="28"/>
      <c r="E38" s="28"/>
      <c r="F38" s="27"/>
      <c r="G38" s="28"/>
      <c r="H38" s="28"/>
      <c r="I38" s="28"/>
      <c r="J38" s="27"/>
      <c r="K38" s="28"/>
      <c r="L38" s="28"/>
      <c r="M38" s="28"/>
    </row>
    <row r="39" customHeight="1" spans="2:13">
      <c r="B39" s="27"/>
      <c r="C39" s="28"/>
      <c r="D39" s="28"/>
      <c r="E39" s="28"/>
      <c r="F39" s="27"/>
      <c r="G39" s="28"/>
      <c r="H39" s="28"/>
      <c r="I39" s="28"/>
      <c r="J39" s="27"/>
      <c r="K39" s="28"/>
      <c r="L39" s="28"/>
      <c r="M39" s="28"/>
    </row>
    <row r="40" customHeight="1" spans="2:13">
      <c r="B40" s="27"/>
      <c r="C40" s="28"/>
      <c r="D40" s="28"/>
      <c r="E40" s="28"/>
      <c r="F40" s="27"/>
      <c r="G40" s="28"/>
      <c r="H40" s="28"/>
      <c r="I40" s="28"/>
      <c r="J40" s="27"/>
      <c r="K40" s="28"/>
      <c r="L40" s="28"/>
      <c r="M40" s="28"/>
    </row>
    <row r="41" customHeight="1" spans="2:13">
      <c r="B41" s="27"/>
      <c r="C41" s="28"/>
      <c r="D41" s="28"/>
      <c r="E41" s="28"/>
      <c r="F41" s="27"/>
      <c r="G41" s="28"/>
      <c r="H41" s="28"/>
      <c r="I41" s="28"/>
      <c r="J41" s="27"/>
      <c r="K41" s="28"/>
      <c r="L41" s="28"/>
      <c r="M41" s="28"/>
    </row>
    <row r="42" customHeight="1" spans="2:13">
      <c r="B42" s="27"/>
      <c r="C42" s="28"/>
      <c r="D42" s="28"/>
      <c r="E42" s="28"/>
      <c r="F42" s="27"/>
      <c r="G42" s="28"/>
      <c r="H42" s="28"/>
      <c r="I42" s="28"/>
      <c r="J42" s="27"/>
      <c r="K42" s="28"/>
      <c r="L42" s="28"/>
      <c r="M42" s="28"/>
    </row>
    <row r="43" customHeight="1" spans="2:13">
      <c r="B43" s="27"/>
      <c r="C43" s="28"/>
      <c r="D43" s="28"/>
      <c r="E43" s="28"/>
      <c r="F43" s="27"/>
      <c r="G43" s="28"/>
      <c r="H43" s="28"/>
      <c r="I43" s="28"/>
      <c r="J43" s="27"/>
      <c r="K43" s="28"/>
      <c r="L43" s="28"/>
      <c r="M43" s="28"/>
    </row>
    <row r="44" customHeight="1" spans="2:13">
      <c r="B44" s="27"/>
      <c r="C44" s="28"/>
      <c r="D44" s="28"/>
      <c r="E44" s="28"/>
      <c r="F44" s="27"/>
      <c r="G44" s="28"/>
      <c r="H44" s="28"/>
      <c r="I44" s="28"/>
      <c r="J44" s="27"/>
      <c r="K44" s="28"/>
      <c r="L44" s="28"/>
      <c r="M44" s="28"/>
    </row>
    <row r="45" customHeight="1" spans="2:13">
      <c r="B45" s="27"/>
      <c r="C45" s="28"/>
      <c r="D45" s="28"/>
      <c r="E45" s="28"/>
      <c r="F45" s="27"/>
      <c r="G45" s="28"/>
      <c r="H45" s="28"/>
      <c r="I45" s="28"/>
      <c r="J45" s="27"/>
      <c r="K45" s="28"/>
      <c r="L45" s="28"/>
      <c r="M45" s="28"/>
    </row>
    <row r="46" customHeight="1" spans="2:13">
      <c r="B46" s="27"/>
      <c r="C46" s="28"/>
      <c r="D46" s="28"/>
      <c r="E46" s="28"/>
      <c r="F46" s="27"/>
      <c r="G46" s="28"/>
      <c r="H46" s="28"/>
      <c r="I46" s="28"/>
      <c r="J46" s="27"/>
      <c r="K46" s="28"/>
      <c r="L46" s="28"/>
      <c r="M46" s="28"/>
    </row>
    <row r="47" customHeight="1" spans="2:13">
      <c r="B47" s="27"/>
      <c r="C47" s="28"/>
      <c r="D47" s="28"/>
      <c r="E47" s="28"/>
      <c r="F47" s="27"/>
      <c r="G47" s="28"/>
      <c r="H47" s="28"/>
      <c r="I47" s="28"/>
      <c r="J47" s="27"/>
      <c r="K47" s="28"/>
      <c r="L47" s="28"/>
      <c r="M47" s="28"/>
    </row>
    <row r="48" customHeight="1" spans="2:13">
      <c r="B48" s="27"/>
      <c r="C48" s="28"/>
      <c r="D48" s="28"/>
      <c r="E48" s="28"/>
      <c r="F48" s="27"/>
      <c r="G48" s="28"/>
      <c r="H48" s="28"/>
      <c r="I48" s="28"/>
      <c r="J48" s="27"/>
      <c r="K48" s="28"/>
      <c r="L48" s="28"/>
      <c r="M48" s="28"/>
    </row>
    <row r="49" customHeight="1" spans="2:13">
      <c r="B49" s="27"/>
      <c r="C49" s="28"/>
      <c r="D49" s="28"/>
      <c r="E49" s="28"/>
      <c r="F49" s="27"/>
      <c r="G49" s="28"/>
      <c r="H49" s="28"/>
      <c r="I49" s="28"/>
      <c r="J49" s="27"/>
      <c r="K49" s="28"/>
      <c r="L49" s="28"/>
      <c r="M49" s="28"/>
    </row>
    <row r="50" customHeight="1" spans="2:13">
      <c r="B50" s="27"/>
      <c r="C50" s="28"/>
      <c r="D50" s="28"/>
      <c r="E50" s="28"/>
      <c r="F50" s="27"/>
      <c r="G50" s="28"/>
      <c r="H50" s="28"/>
      <c r="I50" s="28"/>
      <c r="J50" s="27"/>
      <c r="K50" s="28"/>
      <c r="L50" s="28"/>
      <c r="M50" s="28"/>
    </row>
    <row r="51" customHeight="1" spans="2:13">
      <c r="B51" s="27"/>
      <c r="C51" s="28"/>
      <c r="D51" s="28"/>
      <c r="E51" s="28"/>
      <c r="F51" s="27"/>
      <c r="G51" s="28"/>
      <c r="H51" s="28"/>
      <c r="I51" s="28"/>
      <c r="J51" s="27"/>
      <c r="K51" s="28"/>
      <c r="L51" s="28"/>
      <c r="M51" s="28"/>
    </row>
    <row r="52" customHeight="1" spans="2:13">
      <c r="B52" s="27"/>
      <c r="C52" s="28"/>
      <c r="D52" s="28"/>
      <c r="E52" s="28"/>
      <c r="F52" s="27"/>
      <c r="G52" s="28"/>
      <c r="H52" s="28"/>
      <c r="I52" s="28"/>
      <c r="J52" s="27"/>
      <c r="K52" s="28"/>
      <c r="L52" s="28"/>
      <c r="M52" s="28"/>
    </row>
    <row r="53" customHeight="1" spans="2:13">
      <c r="B53" s="27"/>
      <c r="C53" s="28"/>
      <c r="D53" s="28"/>
      <c r="E53" s="28"/>
      <c r="F53" s="27"/>
      <c r="G53" s="28"/>
      <c r="H53" s="28"/>
      <c r="I53" s="28"/>
      <c r="J53" s="27"/>
      <c r="K53" s="28"/>
      <c r="L53" s="28"/>
      <c r="M53" s="28"/>
    </row>
    <row r="54" customHeight="1" spans="2:13">
      <c r="B54" s="27"/>
      <c r="C54" s="28"/>
      <c r="D54" s="28"/>
      <c r="E54" s="28"/>
      <c r="F54" s="27"/>
      <c r="G54" s="28"/>
      <c r="H54" s="28"/>
      <c r="I54" s="28"/>
      <c r="J54" s="27"/>
      <c r="K54" s="28"/>
      <c r="L54" s="28"/>
      <c r="M54" s="28"/>
    </row>
    <row r="55" customHeight="1" spans="2:13">
      <c r="B55" s="27"/>
      <c r="C55" s="28"/>
      <c r="D55" s="28"/>
      <c r="E55" s="28"/>
      <c r="F55" s="27"/>
      <c r="G55" s="28"/>
      <c r="H55" s="28"/>
      <c r="I55" s="28"/>
      <c r="J55" s="27"/>
      <c r="K55" s="28"/>
      <c r="L55" s="28"/>
      <c r="M55" s="28"/>
    </row>
    <row r="56" customHeight="1" spans="2:13">
      <c r="B56" s="27"/>
      <c r="C56" s="28"/>
      <c r="D56" s="28"/>
      <c r="E56" s="28"/>
      <c r="F56" s="27"/>
      <c r="G56" s="28"/>
      <c r="H56" s="28"/>
      <c r="I56" s="28"/>
      <c r="J56" s="27"/>
      <c r="K56" s="28"/>
      <c r="L56" s="28"/>
      <c r="M56" s="28"/>
    </row>
    <row r="57" customHeight="1" spans="2:13">
      <c r="B57" s="27"/>
      <c r="C57" s="28"/>
      <c r="D57" s="28"/>
      <c r="E57" s="28"/>
      <c r="F57" s="27"/>
      <c r="G57" s="28"/>
      <c r="H57" s="28"/>
      <c r="I57" s="28"/>
      <c r="J57" s="27"/>
      <c r="K57" s="28"/>
      <c r="L57" s="28"/>
      <c r="M57" s="28"/>
    </row>
    <row r="58" customHeight="1" spans="2:13">
      <c r="B58" s="27"/>
      <c r="C58" s="28"/>
      <c r="D58" s="28"/>
      <c r="E58" s="28"/>
      <c r="F58" s="27"/>
      <c r="G58" s="28"/>
      <c r="H58" s="28"/>
      <c r="I58" s="28"/>
      <c r="J58" s="27"/>
      <c r="K58" s="28"/>
      <c r="L58" s="28"/>
      <c r="M58" s="28"/>
    </row>
    <row r="59" customHeight="1" spans="2:13">
      <c r="B59" s="27"/>
      <c r="C59" s="28"/>
      <c r="D59" s="28"/>
      <c r="E59" s="28"/>
      <c r="F59" s="27"/>
      <c r="G59" s="28"/>
      <c r="H59" s="28"/>
      <c r="I59" s="28"/>
      <c r="J59" s="27"/>
      <c r="K59" s="28"/>
      <c r="L59" s="28"/>
      <c r="M59" s="28"/>
    </row>
  </sheetData>
  <mergeCells count="4">
    <mergeCell ref="A1:O1"/>
    <mergeCell ref="A15:D15"/>
    <mergeCell ref="F15:H15"/>
    <mergeCell ref="J15:L15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HIKVISION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up1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张斌</cp:lastModifiedBy>
  <dcterms:created xsi:type="dcterms:W3CDTF">2016-05-03T06:12:00Z</dcterms:created>
  <cp:lastPrinted>2015-09-11T07:37:00Z</cp:lastPrinted>
  <dcterms:modified xsi:type="dcterms:W3CDTF">2026-03-22T13:28:34Z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D9BDE27FD39047FC91BADA35A999B048_13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